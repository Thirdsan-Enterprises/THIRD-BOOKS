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ic\Desktop\Bank statements\"/>
    </mc:Choice>
  </mc:AlternateContent>
  <xr:revisionPtr revIDLastSave="0" documentId="13_ncr:1_{F3A6FC6B-1A4B-470B-84C6-458A6C1F87D3}" xr6:coauthVersionLast="47" xr6:coauthVersionMax="47" xr10:uidLastSave="{00000000-0000-0000-0000-000000000000}"/>
  <bookViews>
    <workbookView xWindow="-110" yWindow="-110" windowWidth="19420" windowHeight="10300" xr2:uid="{983FC87E-3F9F-4212-A86B-01910B64BF5F}"/>
  </bookViews>
  <sheets>
    <sheet name="Cash_Flow_Statement_202604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1" l="1"/>
  <c r="C22" i="1"/>
</calcChain>
</file>

<file path=xl/sharedStrings.xml><?xml version="1.0" encoding="utf-8"?>
<sst xmlns="http://schemas.openxmlformats.org/spreadsheetml/2006/main" count="53" uniqueCount="36">
  <si>
    <t>MAGIC BET LTD â€” STATEMENT OF CASH FLOWS</t>
  </si>
  <si>
    <t>Generated: Apr 14, 2026</t>
  </si>
  <si>
    <t>Section</t>
  </si>
  <si>
    <t>Description</t>
  </si>
  <si>
    <t xml:space="preserve"> Amount (UGX) </t>
  </si>
  <si>
    <t>Operating</t>
  </si>
  <si>
    <t>Cash received from betting customers</t>
  </si>
  <si>
    <t>Cash paid to winning customers</t>
  </si>
  <si>
    <t>Net cash from betting operations</t>
  </si>
  <si>
    <t>Commission paid to outlet owners</t>
  </si>
  <si>
    <t>These can be grouped to only carry the operating profit from the Income statement</t>
  </si>
  <si>
    <t>OPERATING ACTIVITIES</t>
  </si>
  <si>
    <t>Operating Profit</t>
  </si>
  <si>
    <t>Changes in Net Working Capital</t>
  </si>
  <si>
    <t>(Increase)/ Decrease in Accounts Receivables &amp; Prepayments</t>
  </si>
  <si>
    <t>Increase/ (Decrease) in Accounts Payables</t>
  </si>
  <si>
    <t>NET CASH FROM OPERATING ACTIVITIES</t>
  </si>
  <si>
    <t>INVESTING ACTIVITIES</t>
  </si>
  <si>
    <t>Investing</t>
  </si>
  <si>
    <t>Acquisition of Assets</t>
  </si>
  <si>
    <t>NET CASH FROM INVESTING ACTIVITIES</t>
  </si>
  <si>
    <t>FINANCING ACTIVITIES</t>
  </si>
  <si>
    <t>Financing</t>
  </si>
  <si>
    <t>Acquisition of Loans</t>
  </si>
  <si>
    <t>NET CASH FROM FINANCING ACTIVITIES</t>
  </si>
  <si>
    <t>Summary</t>
  </si>
  <si>
    <t>Opening Cash Balance (Adds up Opening Cash &amp; Bank Balances )</t>
  </si>
  <si>
    <t xml:space="preserve"> - </t>
  </si>
  <si>
    <t>Net Increase in Cash ( Adds up Net cash from Operating, Financing and investing activities)</t>
  </si>
  <si>
    <t>CLOSING CASH BALANCE ( Closing Total from Bank and cash accounts)</t>
  </si>
  <si>
    <t>Depreciation of Assets</t>
  </si>
  <si>
    <t>Sell of Assets</t>
  </si>
  <si>
    <t>Acquisition of securities (bonds)</t>
  </si>
  <si>
    <t>Receipt of Interest on bonds</t>
  </si>
  <si>
    <t>Loan repayment</t>
  </si>
  <si>
    <t>Dividends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</si>
</sst>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0" fillId="33" borderId="0" xfId="0" applyFill="1"/>
    <xf numFmtId="3" fontId="0" fillId="33" borderId="0" xfId="0" applyNumberFormat="1" applyFill="1"/>
    <xf numFmtId="0" fontId="16" fillId="33" borderId="0" xfId="0" applyFont="1" applyFill="1"/>
    <xf numFmtId="0" fontId="16" fillId="0" borderId="0" xfId="0" applyFont="1"/>
    <xf numFmtId="3" fontId="16" fillId="33" borderId="0" xfId="0" applyNumberFormat="1" applyFont="1" applyFill="1"/>
    <xf numFmtId="0" fontId="0" fillId="33" borderId="0" xfId="0" applyFont="1" applyFill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332F-4283-4C02-A69C-121928ECF8BA}">
  <dimension ref="A1:D32"/>
  <sheetViews>
    <sheetView tabSelected="1" topLeftCell="A19" workbookViewId="0">
      <selection activeCell="B23" sqref="B23"/>
    </sheetView>
  </sheetViews>
  <sheetFormatPr defaultRowHeight="14.5" x14ac:dyDescent="0.35"/>
  <cols>
    <col min="1" max="1" width="22.1796875" customWidth="1"/>
    <col min="2" max="2" width="55.54296875" customWidth="1"/>
    <col min="3" max="4" width="22.1796875" customWidth="1"/>
  </cols>
  <sheetData>
    <row r="1" spans="1:4" x14ac:dyDescent="0.35">
      <c r="A1" t="s">
        <v>0</v>
      </c>
    </row>
    <row r="2" spans="1:4" x14ac:dyDescent="0.35">
      <c r="A2" t="s">
        <v>1</v>
      </c>
    </row>
    <row r="4" spans="1:4" x14ac:dyDescent="0.35">
      <c r="A4" t="s">
        <v>2</v>
      </c>
      <c r="B4" t="s">
        <v>3</v>
      </c>
      <c r="C4" t="s">
        <v>4</v>
      </c>
    </row>
    <row r="5" spans="1:4" x14ac:dyDescent="0.35">
      <c r="A5" t="s">
        <v>5</v>
      </c>
      <c r="B5" t="s">
        <v>6</v>
      </c>
      <c r="C5" s="1">
        <v>1450432000</v>
      </c>
    </row>
    <row r="6" spans="1:4" x14ac:dyDescent="0.35">
      <c r="A6" t="s">
        <v>5</v>
      </c>
      <c r="B6" t="s">
        <v>7</v>
      </c>
      <c r="C6" s="1">
        <v>-1203832650</v>
      </c>
    </row>
    <row r="7" spans="1:4" x14ac:dyDescent="0.35">
      <c r="A7" t="s">
        <v>5</v>
      </c>
      <c r="B7" t="s">
        <v>8</v>
      </c>
      <c r="C7" s="1">
        <v>246599350</v>
      </c>
    </row>
    <row r="8" spans="1:4" x14ac:dyDescent="0.35">
      <c r="A8" t="s">
        <v>5</v>
      </c>
      <c r="B8" t="s">
        <v>9</v>
      </c>
      <c r="C8" s="1">
        <v>-101328144</v>
      </c>
      <c r="D8" t="s">
        <v>10</v>
      </c>
    </row>
    <row r="9" spans="1:4" s="5" customFormat="1" x14ac:dyDescent="0.35">
      <c r="A9" s="4"/>
      <c r="B9" s="4" t="s">
        <v>11</v>
      </c>
      <c r="C9" s="4"/>
    </row>
    <row r="10" spans="1:4" x14ac:dyDescent="0.35">
      <c r="A10" s="2"/>
      <c r="B10" s="2" t="s">
        <v>12</v>
      </c>
      <c r="C10" s="3">
        <v>145271206</v>
      </c>
    </row>
    <row r="11" spans="1:4" s="5" customFormat="1" x14ac:dyDescent="0.35">
      <c r="A11" s="4" t="s">
        <v>5</v>
      </c>
      <c r="B11" s="4" t="s">
        <v>13</v>
      </c>
      <c r="C11" s="4"/>
    </row>
    <row r="12" spans="1:4" x14ac:dyDescent="0.35">
      <c r="A12" s="2" t="s">
        <v>5</v>
      </c>
      <c r="B12" s="2" t="s">
        <v>30</v>
      </c>
      <c r="C12" s="3">
        <v>300000</v>
      </c>
    </row>
    <row r="13" spans="1:4" x14ac:dyDescent="0.35">
      <c r="A13" s="2" t="s">
        <v>5</v>
      </c>
      <c r="B13" s="2" t="s">
        <v>14</v>
      </c>
      <c r="C13" s="3">
        <v>-15000000</v>
      </c>
    </row>
    <row r="14" spans="1:4" x14ac:dyDescent="0.35">
      <c r="A14" s="2" t="s">
        <v>5</v>
      </c>
      <c r="B14" s="2" t="s">
        <v>15</v>
      </c>
      <c r="C14" s="3">
        <v>2000000</v>
      </c>
    </row>
    <row r="15" spans="1:4" s="5" customFormat="1" x14ac:dyDescent="0.35">
      <c r="A15" s="4" t="s">
        <v>5</v>
      </c>
      <c r="B15" s="4" t="s">
        <v>16</v>
      </c>
      <c r="C15" s="6">
        <v>132571206</v>
      </c>
    </row>
    <row r="16" spans="1:4" x14ac:dyDescent="0.35">
      <c r="A16" s="2"/>
      <c r="B16" s="2"/>
      <c r="C16" s="2"/>
    </row>
    <row r="17" spans="1:3" s="5" customFormat="1" x14ac:dyDescent="0.35">
      <c r="A17" s="4"/>
      <c r="B17" s="4" t="s">
        <v>17</v>
      </c>
      <c r="C17" s="4"/>
    </row>
    <row r="18" spans="1:3" s="5" customFormat="1" x14ac:dyDescent="0.35">
      <c r="A18" s="2" t="s">
        <v>18</v>
      </c>
      <c r="B18" s="7" t="s">
        <v>31</v>
      </c>
      <c r="C18" s="7">
        <v>0</v>
      </c>
    </row>
    <row r="19" spans="1:3" s="5" customFormat="1" x14ac:dyDescent="0.35">
      <c r="A19" s="2" t="s">
        <v>18</v>
      </c>
      <c r="B19" s="7" t="s">
        <v>33</v>
      </c>
      <c r="C19" s="7">
        <v>0</v>
      </c>
    </row>
    <row r="20" spans="1:3" s="5" customFormat="1" x14ac:dyDescent="0.35">
      <c r="A20" s="2" t="s">
        <v>18</v>
      </c>
      <c r="B20" s="7" t="s">
        <v>32</v>
      </c>
      <c r="C20" s="7">
        <v>0</v>
      </c>
    </row>
    <row r="21" spans="1:3" x14ac:dyDescent="0.35">
      <c r="A21" s="2" t="s">
        <v>18</v>
      </c>
      <c r="B21" s="2" t="s">
        <v>19</v>
      </c>
      <c r="C21" s="3">
        <v>-35000000</v>
      </c>
    </row>
    <row r="22" spans="1:3" s="5" customFormat="1" x14ac:dyDescent="0.35">
      <c r="A22" s="4" t="s">
        <v>18</v>
      </c>
      <c r="B22" s="4" t="s">
        <v>20</v>
      </c>
      <c r="C22" s="6">
        <f>SUM(C18:C21)</f>
        <v>-35000000</v>
      </c>
    </row>
    <row r="23" spans="1:3" x14ac:dyDescent="0.35">
      <c r="A23" s="2"/>
      <c r="B23" s="2"/>
      <c r="C23" s="2"/>
    </row>
    <row r="24" spans="1:3" s="5" customFormat="1" x14ac:dyDescent="0.35">
      <c r="A24" s="4"/>
      <c r="B24" s="4" t="s">
        <v>21</v>
      </c>
      <c r="C24" s="4"/>
    </row>
    <row r="25" spans="1:3" s="8" customFormat="1" x14ac:dyDescent="0.35">
      <c r="A25" s="7" t="s">
        <v>22</v>
      </c>
      <c r="B25" s="7" t="s">
        <v>34</v>
      </c>
      <c r="C25" s="7">
        <v>0</v>
      </c>
    </row>
    <row r="26" spans="1:3" s="8" customFormat="1" x14ac:dyDescent="0.35">
      <c r="A26" s="7" t="s">
        <v>22</v>
      </c>
      <c r="B26" s="7" t="s">
        <v>35</v>
      </c>
      <c r="C26" s="7">
        <v>0</v>
      </c>
    </row>
    <row r="27" spans="1:3" x14ac:dyDescent="0.35">
      <c r="A27" s="2" t="s">
        <v>22</v>
      </c>
      <c r="B27" s="2" t="s">
        <v>23</v>
      </c>
      <c r="C27" s="3">
        <v>130000000</v>
      </c>
    </row>
    <row r="28" spans="1:3" s="5" customFormat="1" x14ac:dyDescent="0.35">
      <c r="A28" s="4" t="s">
        <v>22</v>
      </c>
      <c r="B28" s="4" t="s">
        <v>24</v>
      </c>
      <c r="C28" s="6">
        <f>SUM(C25:C27)</f>
        <v>130000000</v>
      </c>
    </row>
    <row r="29" spans="1:3" x14ac:dyDescent="0.35">
      <c r="A29" s="2"/>
      <c r="B29" s="2"/>
      <c r="C29" s="2"/>
    </row>
    <row r="30" spans="1:3" s="5" customFormat="1" x14ac:dyDescent="0.35">
      <c r="A30" s="4" t="s">
        <v>25</v>
      </c>
      <c r="B30" s="4" t="s">
        <v>26</v>
      </c>
      <c r="C30" s="4" t="s">
        <v>27</v>
      </c>
    </row>
    <row r="31" spans="1:3" s="5" customFormat="1" x14ac:dyDescent="0.35">
      <c r="A31" s="4" t="s">
        <v>25</v>
      </c>
      <c r="B31" s="4" t="s">
        <v>28</v>
      </c>
      <c r="C31" s="6">
        <v>227571206</v>
      </c>
    </row>
    <row r="32" spans="1:3" s="5" customFormat="1" x14ac:dyDescent="0.35">
      <c r="A32" s="4" t="s">
        <v>25</v>
      </c>
      <c r="B32" s="4" t="s">
        <v>29</v>
      </c>
      <c r="C32" s="6">
        <v>227571206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Cash_Flow_Statement_20260414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BET</dc:creator>
  <cp:lastModifiedBy>MAGIC BET</cp:lastModifiedBy>
  <dcterms:created xsi:type="dcterms:W3CDTF">2026-04-14T11:50:24Z</dcterms:created>
  <dcterms:modified xsi:type="dcterms:W3CDTF">2026-04-14T11:59:05Z</dcterms:modified>
</cp:coreProperties>
</file>